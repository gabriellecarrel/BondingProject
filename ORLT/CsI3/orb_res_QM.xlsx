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carrel/Princeton Dropbox/Gabrielle Carrel/Laptop_Backup/SCHOOP/to_github/ORLT/CsI3/"/>
    </mc:Choice>
  </mc:AlternateContent>
  <xr:revisionPtr revIDLastSave="0" documentId="13_ncr:1_{309D94AA-0A7F-324E-98EE-0615F5A93802}" xr6:coauthVersionLast="47" xr6:coauthVersionMax="47" xr10:uidLastSave="{00000000-0000-0000-0000-000000000000}"/>
  <bookViews>
    <workbookView xWindow="13300" yWindow="760" windowWidth="16100" windowHeight="9660" xr2:uid="{00000000-000D-0000-FFFF-FFFF00000000}"/>
  </bookViews>
  <sheets>
    <sheet name="CsI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D11" i="1"/>
  <c r="D12" i="1"/>
  <c r="D13" i="1"/>
  <c r="D14" i="1"/>
  <c r="D15" i="1"/>
  <c r="D16" i="1"/>
  <c r="C10" i="1"/>
  <c r="D10" i="1"/>
  <c r="E10" i="1"/>
  <c r="F10" i="1"/>
  <c r="G10" i="1"/>
  <c r="H10" i="1"/>
  <c r="B10" i="1"/>
  <c r="J2" i="1"/>
</calcChain>
</file>

<file path=xl/sharedStrings.xml><?xml version="1.0" encoding="utf-8"?>
<sst xmlns="http://schemas.openxmlformats.org/spreadsheetml/2006/main" count="24" uniqueCount="24">
  <si>
    <t>1orb</t>
  </si>
  <si>
    <t>QM1orb</t>
  </si>
  <si>
    <t>2orb</t>
  </si>
  <si>
    <t>QM2orb</t>
  </si>
  <si>
    <t>3orb</t>
  </si>
  <si>
    <t>QM3orb</t>
  </si>
  <si>
    <t>4orb</t>
  </si>
  <si>
    <t>QM4orb</t>
  </si>
  <si>
    <t>aaaa</t>
  </si>
  <si>
    <t>aaab</t>
  </si>
  <si>
    <t>aaba</t>
  </si>
  <si>
    <t>aabb</t>
  </si>
  <si>
    <t>abaa</t>
  </si>
  <si>
    <t>abab</t>
  </si>
  <si>
    <t>abba</t>
  </si>
  <si>
    <t>abbb</t>
  </si>
  <si>
    <t>aabc</t>
  </si>
  <si>
    <t>abac</t>
  </si>
  <si>
    <t>abbc</t>
  </si>
  <si>
    <t>abca</t>
  </si>
  <si>
    <t>abcb</t>
  </si>
  <si>
    <t>abcc</t>
  </si>
  <si>
    <t>abcd</t>
  </si>
  <si>
    <t>PERCENTS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</si>
</sst>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0154"/>
        <bgColor indexed="64"/>
      </patternFill>
    </fill>
    <fill>
      <patternFill patternType="solid">
        <fgColor rgb="FF460A5D"/>
        <bgColor indexed="64"/>
      </patternFill>
    </fill>
    <fill>
      <patternFill patternType="solid">
        <fgColor rgb="FF470E61"/>
        <bgColor indexed="64"/>
      </patternFill>
    </fill>
    <fill>
      <patternFill patternType="solid">
        <fgColor rgb="FF414287"/>
        <bgColor indexed="64"/>
      </patternFill>
    </fill>
    <fill>
      <patternFill patternType="solid">
        <fgColor rgb="FFFDE725"/>
        <bgColor indexed="64"/>
      </patternFill>
    </fill>
    <fill>
      <patternFill patternType="solid">
        <fgColor rgb="FF3ABA7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3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A5" workbookViewId="0">
      <selection activeCell="A12" sqref="A12"/>
    </sheetView>
  </sheetViews>
  <sheetFormatPr baseColWidth="10" defaultColWidth="8.83203125" defaultRowHeight="15" x14ac:dyDescent="0.2"/>
  <cols>
    <col min="2" max="2" width="11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">
      <c r="A2" t="s">
        <v>8</v>
      </c>
      <c r="B2" s="2">
        <v>3.7652026361074362E-7</v>
      </c>
      <c r="C2" t="s">
        <v>9</v>
      </c>
      <c r="D2" s="2">
        <v>4.8265820394339759E-6</v>
      </c>
      <c r="E2" t="s">
        <v>16</v>
      </c>
      <c r="F2" s="2">
        <v>-7.1308140517160499E-4</v>
      </c>
      <c r="G2" t="s">
        <v>22</v>
      </c>
      <c r="H2" s="3">
        <v>4.3916399286724741E-3</v>
      </c>
      <c r="J2">
        <f>SUM(B2,D2:D8,F2:F7,H2)</f>
        <v>0.38552842525158149</v>
      </c>
    </row>
    <row r="3" spans="1:10" x14ac:dyDescent="0.2">
      <c r="B3" s="4"/>
      <c r="C3" t="s">
        <v>10</v>
      </c>
      <c r="D3" s="2">
        <v>3.6974741274202169E-6</v>
      </c>
      <c r="E3" t="s">
        <v>17</v>
      </c>
      <c r="F3" s="5">
        <v>6.3996339016203184E-3</v>
      </c>
      <c r="H3" s="4"/>
    </row>
    <row r="4" spans="1:10" x14ac:dyDescent="0.2">
      <c r="B4" s="4"/>
      <c r="C4" t="s">
        <v>11</v>
      </c>
      <c r="D4" s="6">
        <v>3.9138962932777827E-2</v>
      </c>
      <c r="E4" t="s">
        <v>18</v>
      </c>
      <c r="F4" s="2">
        <v>1.334539041225384E-6</v>
      </c>
      <c r="H4" s="4"/>
    </row>
    <row r="5" spans="1:10" x14ac:dyDescent="0.2">
      <c r="B5" s="4"/>
      <c r="C5" t="s">
        <v>12</v>
      </c>
      <c r="D5" s="2">
        <v>4.8265820394339793E-6</v>
      </c>
      <c r="E5" t="s">
        <v>19</v>
      </c>
      <c r="F5" s="2">
        <v>1.334539041225388E-6</v>
      </c>
      <c r="H5" s="4"/>
    </row>
    <row r="6" spans="1:10" x14ac:dyDescent="0.2">
      <c r="B6" s="4"/>
      <c r="C6" t="s">
        <v>13</v>
      </c>
      <c r="D6" s="7">
        <v>0.20123064698939311</v>
      </c>
      <c r="E6" t="s">
        <v>20</v>
      </c>
      <c r="F6" s="8">
        <v>0.13577365221585699</v>
      </c>
      <c r="H6" s="4"/>
    </row>
    <row r="7" spans="1:10" x14ac:dyDescent="0.2">
      <c r="B7" s="4"/>
      <c r="C7" t="s">
        <v>14</v>
      </c>
      <c r="D7" s="2">
        <v>-4.1617075793443703E-8</v>
      </c>
      <c r="E7" t="s">
        <v>21</v>
      </c>
      <c r="F7" s="2">
        <v>-7.1308140517160727E-4</v>
      </c>
      <c r="H7" s="4"/>
    </row>
    <row r="8" spans="1:10" x14ac:dyDescent="0.2">
      <c r="B8" s="4"/>
      <c r="C8" t="s">
        <v>15</v>
      </c>
      <c r="D8" s="2">
        <v>3.6974741274202152E-6</v>
      </c>
      <c r="F8" s="4"/>
      <c r="H8" s="4"/>
    </row>
    <row r="10" spans="1:10" x14ac:dyDescent="0.2">
      <c r="A10" t="s">
        <v>23</v>
      </c>
      <c r="B10">
        <f>B2/$J$2</f>
        <v>9.766342478250223E-7</v>
      </c>
      <c r="C10" t="e">
        <f t="shared" ref="C10:H10" si="0">C2/$J$2</f>
        <v>#VALUE!</v>
      </c>
      <c r="D10">
        <f t="shared" si="0"/>
        <v>1.2519393443646415E-5</v>
      </c>
      <c r="E10" t="e">
        <f t="shared" si="0"/>
        <v>#VALUE!</v>
      </c>
      <c r="F10">
        <f t="shared" si="0"/>
        <v>-1.849620828104373E-3</v>
      </c>
      <c r="G10" t="e">
        <f t="shared" si="0"/>
        <v>#VALUE!</v>
      </c>
      <c r="H10">
        <f t="shared" si="0"/>
        <v>1.1391222127931691E-2</v>
      </c>
    </row>
    <row r="11" spans="1:10" x14ac:dyDescent="0.2">
      <c r="D11">
        <f t="shared" ref="D11" si="1">D3/$J$2</f>
        <v>9.5906653964811628E-6</v>
      </c>
      <c r="F11">
        <f t="shared" ref="F11" si="2">F3/$J$2</f>
        <v>1.6599642159833367E-2</v>
      </c>
    </row>
    <row r="12" spans="1:10" x14ac:dyDescent="0.2">
      <c r="D12">
        <f t="shared" ref="D12" si="3">D4/$J$2</f>
        <v>0.10152030400154592</v>
      </c>
      <c r="F12">
        <f t="shared" ref="F12" si="4">F4/$J$2</f>
        <v>3.4615840332772182E-6</v>
      </c>
    </row>
    <row r="13" spans="1:10" x14ac:dyDescent="0.2">
      <c r="D13">
        <f t="shared" ref="D13" si="5">D5/$J$2</f>
        <v>1.2519393443646423E-5</v>
      </c>
      <c r="F13">
        <f t="shared" ref="F13" si="6">F5/$J$2</f>
        <v>3.4615840332772288E-6</v>
      </c>
    </row>
    <row r="14" spans="1:10" x14ac:dyDescent="0.2">
      <c r="D14">
        <f t="shared" ref="D14" si="7">D6/$J$2</f>
        <v>0.52196059696007491</v>
      </c>
      <c r="F14">
        <f t="shared" ref="F14" si="8">F6/$J$2</f>
        <v>0.35217546443496656</v>
      </c>
    </row>
    <row r="15" spans="1:10" x14ac:dyDescent="0.2">
      <c r="D15">
        <f t="shared" ref="D15" si="9">D7/$J$2</f>
        <v>-1.0794813836693351E-7</v>
      </c>
      <c r="F15">
        <f t="shared" ref="F15" si="10">F7/$J$2</f>
        <v>-1.8496208281043789E-3</v>
      </c>
    </row>
    <row r="16" spans="1:10" x14ac:dyDescent="0.2">
      <c r="D16">
        <f t="shared" ref="D16" si="11">D8/$J$2</f>
        <v>9.5906653964811577E-6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CsI3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Gabrielle Carrel</cp:lastModifiedBy>
  <dcterms:created xsi:type="dcterms:W3CDTF">2026-03-02T23:58:52Z</dcterms:created>
  <dcterms:modified xsi:type="dcterms:W3CDTF">2026-07-15T11:40:20Z</dcterms:modified>
</cp:coreProperties>
</file>