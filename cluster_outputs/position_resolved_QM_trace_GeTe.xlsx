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" sheetId="1" state="visible" r:id="rId1"/>
    <sheet xmlns:r="http://schemas.openxmlformats.org/officeDocument/2006/relationships" name="patterns" sheetId="2" state="visible" r:id="rId2"/>
    <sheet xmlns:r="http://schemas.openxmlformats.org/officeDocument/2006/relationships" name="clas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1orb</t>
        </is>
      </c>
      <c r="B1" t="inlineStr">
        <is>
          <t>QM1orb</t>
        </is>
      </c>
      <c r="C1" t="inlineStr">
        <is>
          <t>2orb</t>
        </is>
      </c>
      <c r="D1" t="inlineStr">
        <is>
          <t>QM2orb</t>
        </is>
      </c>
      <c r="E1" t="inlineStr">
        <is>
          <t>3orb</t>
        </is>
      </c>
      <c r="F1" t="inlineStr">
        <is>
          <t>QM3orb</t>
        </is>
      </c>
      <c r="G1" t="inlineStr">
        <is>
          <t>4orb</t>
        </is>
      </c>
      <c r="H1" t="inlineStr">
        <is>
          <t>QM4orb</t>
        </is>
      </c>
      <c r="J1" t="inlineStr">
        <is>
          <t>SUM</t>
        </is>
      </c>
    </row>
    <row r="2">
      <c r="A2" t="inlineStr">
        <is>
          <t>aaaa</t>
        </is>
      </c>
      <c r="B2" t="n">
        <v>5.854117692817963e-09</v>
      </c>
      <c r="C2" t="inlineStr">
        <is>
          <t>aaab</t>
        </is>
      </c>
      <c r="D2" t="n">
        <v>1.510412746455929e-05</v>
      </c>
      <c r="E2" t="inlineStr">
        <is>
          <t>aabc</t>
        </is>
      </c>
      <c r="F2" t="n">
        <v>1.059496191076329e-05</v>
      </c>
      <c r="G2" t="inlineStr">
        <is>
          <t>abcd</t>
        </is>
      </c>
      <c r="H2" t="n">
        <v>0.6866918762120979</v>
      </c>
      <c r="J2" t="n">
        <v>3.105283139136384</v>
      </c>
    </row>
    <row r="3">
      <c r="C3" t="inlineStr">
        <is>
          <t>aaba</t>
        </is>
      </c>
      <c r="D3" t="n">
        <v>-1.105326910614718e-05</v>
      </c>
      <c r="E3" t="inlineStr">
        <is>
          <t>abac</t>
        </is>
      </c>
      <c r="F3" t="n">
        <v>-0.0236409832103259</v>
      </c>
    </row>
    <row r="4">
      <c r="C4" t="inlineStr">
        <is>
          <t>aabb</t>
        </is>
      </c>
      <c r="D4" t="n">
        <v>-7.655569279076545e-10</v>
      </c>
      <c r="E4" t="inlineStr">
        <is>
          <t>abbc</t>
        </is>
      </c>
      <c r="F4" t="n">
        <v>0.075438099114534</v>
      </c>
    </row>
    <row r="5">
      <c r="C5" t="inlineStr">
        <is>
          <t>abaa</t>
        </is>
      </c>
      <c r="D5" t="n">
        <v>-1.105326910614704e-05</v>
      </c>
      <c r="E5" t="inlineStr">
        <is>
          <t>abca</t>
        </is>
      </c>
      <c r="F5" t="n">
        <v>0.5537594730134863</v>
      </c>
    </row>
    <row r="6">
      <c r="C6" t="inlineStr">
        <is>
          <t>abab</t>
        </is>
      </c>
      <c r="D6" t="n">
        <v>0.1883710780878844</v>
      </c>
      <c r="E6" t="inlineStr">
        <is>
          <t>abcb</t>
        </is>
      </c>
      <c r="F6" t="n">
        <v>-0.0236409832103242</v>
      </c>
    </row>
    <row r="7">
      <c r="C7" t="inlineStr">
        <is>
          <t>abba</t>
        </is>
      </c>
      <c r="D7" t="n">
        <v>1.648275282399932</v>
      </c>
      <c r="E7" t="inlineStr">
        <is>
          <t>abcc</t>
        </is>
      </c>
      <c r="F7" t="n">
        <v>1.059496191076317e-05</v>
      </c>
    </row>
    <row r="8">
      <c r="C8" t="inlineStr">
        <is>
          <t>abbb</t>
        </is>
      </c>
      <c r="D8" t="n">
        <v>1.510412746455941e-05</v>
      </c>
      <c r="J8">
        <f>SUM(B2,D2:D8,F2:F7,H2)</f>
        <v/>
      </c>
    </row>
    <row r="10">
      <c r="A10" t="inlineStr">
        <is>
          <t>PERCENTS</t>
        </is>
      </c>
      <c r="B10" s="1">
        <f>B2/$J$2</f>
        <v/>
      </c>
      <c r="D10" s="1">
        <f>D2/$J$2</f>
        <v/>
      </c>
      <c r="F10" s="1">
        <f>F2/$J$2</f>
        <v/>
      </c>
      <c r="H10" s="1">
        <f>H2/$J$2</f>
        <v/>
      </c>
    </row>
    <row r="11">
      <c r="D11" s="1">
        <f>D3/$J$2</f>
        <v/>
      </c>
      <c r="F11" s="1">
        <f>F3/$J$2</f>
        <v/>
      </c>
    </row>
    <row r="12">
      <c r="D12" s="1">
        <f>D4/$J$2</f>
        <v/>
      </c>
      <c r="F12" s="1">
        <f>F4/$J$2</f>
        <v/>
      </c>
    </row>
    <row r="13">
      <c r="D13" s="1">
        <f>D5/$J$2</f>
        <v/>
      </c>
      <c r="F13" s="1">
        <f>F5/$J$2</f>
        <v/>
      </c>
      <c r="H13">
        <f>SUM(F2:F7)</f>
        <v/>
      </c>
    </row>
    <row r="14">
      <c r="D14" s="1">
        <f>D6/$J$2</f>
        <v/>
      </c>
      <c r="F14" s="1">
        <f>F6/$J$2</f>
        <v/>
      </c>
    </row>
    <row r="15">
      <c r="D15" s="1">
        <f>D7/$J$2</f>
        <v/>
      </c>
      <c r="F15" s="1">
        <f>F7/$J$2</f>
        <v/>
      </c>
    </row>
    <row r="16">
      <c r="D16" s="1">
        <f>D8/$J$2</f>
        <v/>
      </c>
    </row>
    <row r="19">
      <c r="A19" s="2" t="inlineStr">
        <is>
          <t>GeTe: position-resolved, min_hopping_norm 0.0001, nk 42. Paper labels (A,D,B,C): abba = 2-center polarization. The old orb_res_QM_trace.xlsx uses tensor order; see sheet 'patterns'.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3" t="inlineStr">
        <is>
          <t>paper label (A,D,B,C)</t>
        </is>
      </c>
      <c r="B1" s="3" t="inlineStr">
        <is>
          <t>old xlsx / tensor label (A,B,C,D)</t>
        </is>
      </c>
      <c r="C1" s="3" t="inlineStr">
        <is>
          <t>class</t>
        </is>
      </c>
      <c r="D1" s="3" t="inlineStr">
        <is>
          <t>xx</t>
        </is>
      </c>
      <c r="E1" s="3" t="inlineStr">
        <is>
          <t>yy</t>
        </is>
      </c>
      <c r="F1" s="3" t="inlineStr">
        <is>
          <t>zz</t>
        </is>
      </c>
      <c r="G1" s="3" t="inlineStr">
        <is>
          <t>trace</t>
        </is>
      </c>
    </row>
    <row r="2">
      <c r="A2" t="inlineStr">
        <is>
          <t>abba</t>
        </is>
      </c>
      <c r="B2" t="inlineStr">
        <is>
          <t>abab</t>
        </is>
      </c>
      <c r="C2" t="inlineStr">
        <is>
          <t>2-center polarization</t>
        </is>
      </c>
      <c r="D2" t="n">
        <v>0.5394751669238309</v>
      </c>
      <c r="E2" t="n">
        <v>0.5505870121903294</v>
      </c>
      <c r="F2" t="n">
        <v>0.558213103285772</v>
      </c>
      <c r="G2" t="n">
        <v>1.648275282399932</v>
      </c>
    </row>
    <row r="3">
      <c r="A3" t="inlineStr">
        <is>
          <t>abab</t>
        </is>
      </c>
      <c r="B3" t="inlineStr">
        <is>
          <t>aabb</t>
        </is>
      </c>
      <c r="C3" t="inlineStr">
        <is>
          <t>2-center transfer</t>
        </is>
      </c>
      <c r="D3" t="n">
        <v>0.06492118689171569</v>
      </c>
      <c r="E3" t="n">
        <v>0.06949944469537619</v>
      </c>
      <c r="F3" t="n">
        <v>0.0539504465007923</v>
      </c>
      <c r="G3" t="n">
        <v>0.1883710780878844</v>
      </c>
    </row>
    <row r="4">
      <c r="A4" t="inlineStr">
        <is>
          <t>abac</t>
        </is>
      </c>
      <c r="B4" t="inlineStr">
        <is>
          <t>aabc</t>
        </is>
      </c>
      <c r="C4" t="inlineStr">
        <is>
          <t>3-center</t>
        </is>
      </c>
      <c r="D4" t="n">
        <v>-0.0140011081754172</v>
      </c>
      <c r="E4" t="n">
        <v>-0.0134340644918187</v>
      </c>
      <c r="F4" t="n">
        <v>0.0037941894569101</v>
      </c>
      <c r="G4" t="n">
        <v>-0.0236409832103259</v>
      </c>
    </row>
    <row r="5">
      <c r="A5" t="inlineStr">
        <is>
          <t>abbc</t>
        </is>
      </c>
      <c r="B5" t="inlineStr">
        <is>
          <t>abcb</t>
        </is>
      </c>
      <c r="C5" t="inlineStr">
        <is>
          <t>3-center</t>
        </is>
      </c>
      <c r="D5" t="n">
        <v>0.0606241590020052</v>
      </c>
      <c r="E5" t="n">
        <v>0.0595877469768056</v>
      </c>
      <c r="F5" t="n">
        <v>-0.0447738068642768</v>
      </c>
      <c r="G5" t="n">
        <v>0.075438099114534</v>
      </c>
    </row>
    <row r="6">
      <c r="A6" t="inlineStr">
        <is>
          <t>abca</t>
        </is>
      </c>
      <c r="B6" t="inlineStr">
        <is>
          <t>abac</t>
        </is>
      </c>
      <c r="C6" t="inlineStr">
        <is>
          <t>3-center</t>
        </is>
      </c>
      <c r="D6" t="n">
        <v>0.1665149132222744</v>
      </c>
      <c r="E6" t="n">
        <v>0.1666923365998263</v>
      </c>
      <c r="F6" t="n">
        <v>0.2205522231913855</v>
      </c>
      <c r="G6" t="n">
        <v>0.5537594730134863</v>
      </c>
    </row>
    <row r="7">
      <c r="A7" t="inlineStr">
        <is>
          <t>abcb</t>
        </is>
      </c>
      <c r="B7" t="inlineStr">
        <is>
          <t>abcc</t>
        </is>
      </c>
      <c r="C7" t="inlineStr">
        <is>
          <t>3-center</t>
        </is>
      </c>
      <c r="D7" t="n">
        <v>-0.014001108175417</v>
      </c>
      <c r="E7" t="n">
        <v>-0.0134340644918179</v>
      </c>
      <c r="F7" t="n">
        <v>0.0037941894569107</v>
      </c>
      <c r="G7" t="n">
        <v>-0.0236409832103242</v>
      </c>
    </row>
    <row r="8">
      <c r="A8" t="inlineStr">
        <is>
          <t>abcd</t>
        </is>
      </c>
      <c r="B8" t="inlineStr">
        <is>
          <t>abcd</t>
        </is>
      </c>
      <c r="C8" t="inlineStr">
        <is>
          <t>4-center</t>
        </is>
      </c>
      <c r="D8" t="n">
        <v>0.2601475873306268</v>
      </c>
      <c r="E8" t="n">
        <v>0.2624210151417026</v>
      </c>
      <c r="F8" t="n">
        <v>0.1641232737397685</v>
      </c>
      <c r="G8" t="n">
        <v>0.6866918762120979</v>
      </c>
    </row>
    <row r="9">
      <c r="A9" t="inlineStr">
        <is>
          <t>aaaa</t>
        </is>
      </c>
      <c r="B9" t="inlineStr">
        <is>
          <t>aaaa</t>
        </is>
      </c>
      <c r="C9" t="inlineStr">
        <is>
          <t>other (A=D or B=C)</t>
        </is>
      </c>
      <c r="D9" t="n">
        <v>0</v>
      </c>
      <c r="E9" t="n">
        <v>1.868877884526738e-12</v>
      </c>
      <c r="F9" t="n">
        <v>5.852248814933436e-09</v>
      </c>
      <c r="G9" t="n">
        <v>5.854117692817963e-09</v>
      </c>
    </row>
    <row r="10">
      <c r="A10" t="inlineStr">
        <is>
          <t>aaab</t>
        </is>
      </c>
      <c r="B10" t="inlineStr">
        <is>
          <t>aaba</t>
        </is>
      </c>
      <c r="C10" t="inlineStr">
        <is>
          <t>other (A=D or B=C)</t>
        </is>
      </c>
      <c r="D10" t="n">
        <v>0</v>
      </c>
      <c r="E10" t="n">
        <v>2.088295444068569e-07</v>
      </c>
      <c r="F10" t="n">
        <v>1.489529792015243e-05</v>
      </c>
      <c r="G10" t="n">
        <v>1.510412746455929e-05</v>
      </c>
    </row>
    <row r="11">
      <c r="A11" t="inlineStr">
        <is>
          <t>aaba</t>
        </is>
      </c>
      <c r="B11" t="inlineStr">
        <is>
          <t>abaa</t>
        </is>
      </c>
      <c r="C11" t="inlineStr">
        <is>
          <t>other (A=D or B=C)</t>
        </is>
      </c>
      <c r="D11" t="n">
        <v>0</v>
      </c>
      <c r="E11" t="n">
        <v>2.302611416927901e-08</v>
      </c>
      <c r="F11" t="n">
        <v>-1.107629522031646e-05</v>
      </c>
      <c r="G11" t="n">
        <v>-1.105326910614718e-05</v>
      </c>
    </row>
    <row r="12">
      <c r="A12" t="inlineStr">
        <is>
          <t>aabb</t>
        </is>
      </c>
      <c r="B12" t="inlineStr">
        <is>
          <t>abba</t>
        </is>
      </c>
      <c r="C12" t="inlineStr">
        <is>
          <t>other (A=D or B=C)</t>
        </is>
      </c>
      <c r="D12" t="n">
        <v>0</v>
      </c>
      <c r="E12" t="n">
        <v>-4.809442868649456e-14</v>
      </c>
      <c r="F12" t="n">
        <v>-7.655088334789678e-10</v>
      </c>
      <c r="G12" t="n">
        <v>-7.655569279076545e-10</v>
      </c>
    </row>
    <row r="13">
      <c r="A13" t="inlineStr">
        <is>
          <t>aabc</t>
        </is>
      </c>
      <c r="B13" t="inlineStr">
        <is>
          <t>abca</t>
        </is>
      </c>
      <c r="C13" t="inlineStr">
        <is>
          <t>other (A=D or B=C)</t>
        </is>
      </c>
      <c r="D13" t="n">
        <v>0</v>
      </c>
      <c r="E13" t="n">
        <v>1.564557608917519e-07</v>
      </c>
      <c r="F13" t="n">
        <v>1.043850614987154e-05</v>
      </c>
      <c r="G13" t="n">
        <v>1.059496191076329e-05</v>
      </c>
    </row>
    <row r="14">
      <c r="A14" t="inlineStr">
        <is>
          <t>abaa</t>
        </is>
      </c>
      <c r="B14" t="inlineStr">
        <is>
          <t>aaab</t>
        </is>
      </c>
      <c r="C14" t="inlineStr">
        <is>
          <t>other (A=D or B=C)</t>
        </is>
      </c>
      <c r="D14" t="n">
        <v>0</v>
      </c>
      <c r="E14" t="n">
        <v>2.302611416927966e-08</v>
      </c>
      <c r="F14" t="n">
        <v>-1.107629522031632e-05</v>
      </c>
      <c r="G14" t="n">
        <v>-1.105326910614704e-05</v>
      </c>
    </row>
    <row r="15">
      <c r="A15" t="inlineStr">
        <is>
          <t>abbb</t>
        </is>
      </c>
      <c r="B15" t="inlineStr">
        <is>
          <t>abbb</t>
        </is>
      </c>
      <c r="C15" t="inlineStr">
        <is>
          <t>other (A=D or B=C)</t>
        </is>
      </c>
      <c r="D15" t="n">
        <v>0</v>
      </c>
      <c r="E15" t="n">
        <v>2.088295444068553e-07</v>
      </c>
      <c r="F15" t="n">
        <v>1.489529792015256e-05</v>
      </c>
      <c r="G15" t="n">
        <v>1.510412746455941e-05</v>
      </c>
    </row>
    <row r="16">
      <c r="A16" t="inlineStr">
        <is>
          <t>abcc</t>
        </is>
      </c>
      <c r="B16" t="inlineStr">
        <is>
          <t>abbc</t>
        </is>
      </c>
      <c r="C16" t="inlineStr">
        <is>
          <t>other (A=D or B=C)</t>
        </is>
      </c>
      <c r="D16" t="n">
        <v>0</v>
      </c>
      <c r="E16" t="n">
        <v>1.564557608917525e-07</v>
      </c>
      <c r="F16" t="n">
        <v>1.043850614987142e-05</v>
      </c>
      <c r="G16" t="n">
        <v>1.059496191076317e-05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3" t="inlineStr">
        <is>
          <t>cls</t>
        </is>
      </c>
      <c r="B1" s="3" t="inlineStr">
        <is>
          <t>xx</t>
        </is>
      </c>
      <c r="C1" s="3" t="inlineStr">
        <is>
          <t>yy</t>
        </is>
      </c>
      <c r="D1" s="3" t="inlineStr">
        <is>
          <t>zz</t>
        </is>
      </c>
      <c r="E1" s="3" t="inlineStr">
        <is>
          <t>trace</t>
        </is>
      </c>
    </row>
    <row r="2">
      <c r="A2" t="inlineStr">
        <is>
          <t>2-center polarization</t>
        </is>
      </c>
      <c r="B2" t="n">
        <v>0.5394751669238309</v>
      </c>
      <c r="C2" t="n">
        <v>0.5505870121903294</v>
      </c>
      <c r="D2" t="n">
        <v>0.558213103285772</v>
      </c>
      <c r="E2" t="n">
        <v>1.648275282399932</v>
      </c>
    </row>
    <row r="3">
      <c r="A3" t="inlineStr">
        <is>
          <t>2-center transfer</t>
        </is>
      </c>
      <c r="B3" t="n">
        <v>0.06492118689171569</v>
      </c>
      <c r="C3" t="n">
        <v>0.06949944469537619</v>
      </c>
      <c r="D3" t="n">
        <v>0.0539504465007923</v>
      </c>
      <c r="E3" t="n">
        <v>0.1883710780878844</v>
      </c>
    </row>
    <row r="4">
      <c r="A4" t="inlineStr">
        <is>
          <t>3-center</t>
        </is>
      </c>
      <c r="B4" t="n">
        <v>0.1991368558734453</v>
      </c>
      <c r="C4" t="n">
        <v>0.1994119545929952</v>
      </c>
      <c r="D4" t="n">
        <v>0.1833667952409295</v>
      </c>
      <c r="E4" t="n">
        <v>0.5819156057073702</v>
      </c>
    </row>
    <row r="5">
      <c r="A5" t="inlineStr">
        <is>
          <t>4-center</t>
        </is>
      </c>
      <c r="B5" t="n">
        <v>0.2601475873306268</v>
      </c>
      <c r="C5" t="n">
        <v>0.2624210151417026</v>
      </c>
      <c r="D5" t="n">
        <v>0.1641232737397685</v>
      </c>
      <c r="E5" t="n">
        <v>0.6866918762120979</v>
      </c>
    </row>
    <row r="6">
      <c r="A6" t="inlineStr">
        <is>
          <t>other (A=D or B=C)</t>
        </is>
      </c>
      <c r="B6" t="n">
        <v>0</v>
      </c>
      <c r="C6" t="n">
        <v>7.766246597192309e-07</v>
      </c>
      <c r="D6" t="n">
        <v>2.852010443939662e-05</v>
      </c>
      <c r="E6" t="n">
        <v>2.929672909911585e-05</v>
      </c>
    </row>
    <row r="7">
      <c r="A7" t="inlineStr">
        <is>
          <t>total, Tr g</t>
        </is>
      </c>
      <c r="B7" t="n">
        <v>1.063680797019619</v>
      </c>
      <c r="C7" t="n">
        <v>1.081920203245063</v>
      </c>
      <c r="D7" t="n">
        <v>0.9596821388717018</v>
      </c>
      <c r="E7" t="n">
        <v>3.105283139136384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2026-10-06T18:11:21Z</dcterms:created>
  <dcterms:modified xmlns:dcterms="http://purl.org/dc/terms/" xmlns:xsi="http://www.w3.org/2001/XMLSchema-instance" xsi:type="dcterms:W3CDTF">2026-10-06T18:11:21Z</dcterms:modified>
</cp:coreProperties>
</file>