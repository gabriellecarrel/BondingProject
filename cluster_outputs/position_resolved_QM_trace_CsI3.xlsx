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" sheetId="1" state="visible" r:id="rId1"/>
    <sheet xmlns:r="http://schemas.openxmlformats.org/officeDocument/2006/relationships" name="patterns" sheetId="2" state="visible" r:id="rId2"/>
    <sheet xmlns:r="http://schemas.openxmlformats.org/officeDocument/2006/relationships" name="cla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1orb</t>
        </is>
      </c>
      <c r="B1" t="inlineStr">
        <is>
          <t>QM1orb</t>
        </is>
      </c>
      <c r="C1" t="inlineStr">
        <is>
          <t>2orb</t>
        </is>
      </c>
      <c r="D1" t="inlineStr">
        <is>
          <t>QM2orb</t>
        </is>
      </c>
      <c r="E1" t="inlineStr">
        <is>
          <t>3orb</t>
        </is>
      </c>
      <c r="F1" t="inlineStr">
        <is>
          <t>QM3orb</t>
        </is>
      </c>
      <c r="G1" t="inlineStr">
        <is>
          <t>4orb</t>
        </is>
      </c>
      <c r="H1" t="inlineStr">
        <is>
          <t>QM4orb</t>
        </is>
      </c>
      <c r="J1" t="inlineStr">
        <is>
          <t>SUM</t>
        </is>
      </c>
    </row>
    <row r="2">
      <c r="A2" t="inlineStr">
        <is>
          <t>aaaa</t>
        </is>
      </c>
      <c r="B2" t="n">
        <v>5.658858235325911e-07</v>
      </c>
      <c r="C2" t="inlineStr">
        <is>
          <t>aaab</t>
        </is>
      </c>
      <c r="D2" t="n">
        <v>3.924769328536377e-06</v>
      </c>
      <c r="E2" t="inlineStr">
        <is>
          <t>aabc</t>
        </is>
      </c>
      <c r="F2" t="n">
        <v>1.4036451726972e-06</v>
      </c>
      <c r="G2" t="inlineStr">
        <is>
          <t>abcd</t>
        </is>
      </c>
      <c r="H2" t="n">
        <v>0.0060176635306093</v>
      </c>
      <c r="J2" t="n">
        <v>0.6766277342322021</v>
      </c>
    </row>
    <row r="3">
      <c r="C3" t="inlineStr">
        <is>
          <t>aaba</t>
        </is>
      </c>
      <c r="D3" t="n">
        <v>8.143855371273801e-06</v>
      </c>
      <c r="E3" t="inlineStr">
        <is>
          <t>abac</t>
        </is>
      </c>
      <c r="F3" t="n">
        <v>-0.0017217551513803</v>
      </c>
    </row>
    <row r="4">
      <c r="C4" t="inlineStr">
        <is>
          <t>aabb</t>
        </is>
      </c>
      <c r="D4" t="n">
        <v>-5.933415744701938e-08</v>
      </c>
      <c r="E4" t="inlineStr">
        <is>
          <t>abbc</t>
        </is>
      </c>
      <c r="F4" t="n">
        <v>0.2328387228272396</v>
      </c>
    </row>
    <row r="5">
      <c r="C5" t="inlineStr">
        <is>
          <t>abaa</t>
        </is>
      </c>
      <c r="D5" t="n">
        <v>8.143855371273901e-06</v>
      </c>
      <c r="E5" t="inlineStr">
        <is>
          <t>abca</t>
        </is>
      </c>
      <c r="F5" t="n">
        <v>0.0156061125233748</v>
      </c>
    </row>
    <row r="6">
      <c r="C6" t="inlineStr">
        <is>
          <t>abab</t>
        </is>
      </c>
      <c r="D6" t="n">
        <v>0.06815482421572409</v>
      </c>
      <c r="E6" t="inlineStr">
        <is>
          <t>abcb</t>
        </is>
      </c>
      <c r="F6" t="n">
        <v>-0.0017217551513795</v>
      </c>
    </row>
    <row r="7">
      <c r="C7" t="inlineStr">
        <is>
          <t>abba</t>
        </is>
      </c>
      <c r="D7" t="n">
        <v>0.3574264703466031</v>
      </c>
      <c r="E7" t="inlineStr">
        <is>
          <t>abcc</t>
        </is>
      </c>
      <c r="F7" t="n">
        <v>1.403645172696934e-06</v>
      </c>
    </row>
    <row r="8">
      <c r="C8" t="inlineStr">
        <is>
          <t>abbb</t>
        </is>
      </c>
      <c r="D8" t="n">
        <v>3.924769328536364e-06</v>
      </c>
      <c r="J8">
        <f>SUM(B2,D2:D8,F2:F7,H2)</f>
        <v/>
      </c>
    </row>
    <row r="10">
      <c r="A10" t="inlineStr">
        <is>
          <t>PERCENTS</t>
        </is>
      </c>
      <c r="B10" s="1">
        <f>B2/$J$2</f>
        <v/>
      </c>
      <c r="D10" s="1">
        <f>D2/$J$2</f>
        <v/>
      </c>
      <c r="F10" s="1">
        <f>F2/$J$2</f>
        <v/>
      </c>
      <c r="H10" s="1">
        <f>H2/$J$2</f>
        <v/>
      </c>
    </row>
    <row r="11">
      <c r="D11" s="1">
        <f>D3/$J$2</f>
        <v/>
      </c>
      <c r="F11" s="1">
        <f>F3/$J$2</f>
        <v/>
      </c>
    </row>
    <row r="12">
      <c r="D12" s="1">
        <f>D4/$J$2</f>
        <v/>
      </c>
      <c r="F12" s="1">
        <f>F4/$J$2</f>
        <v/>
      </c>
    </row>
    <row r="13">
      <c r="D13" s="1">
        <f>D5/$J$2</f>
        <v/>
      </c>
      <c r="F13" s="1">
        <f>F5/$J$2</f>
        <v/>
      </c>
      <c r="H13">
        <f>SUM(F2:F7)</f>
        <v/>
      </c>
    </row>
    <row r="14">
      <c r="D14" s="1">
        <f>D6/$J$2</f>
        <v/>
      </c>
      <c r="F14" s="1">
        <f>F6/$J$2</f>
        <v/>
      </c>
    </row>
    <row r="15">
      <c r="D15" s="1">
        <f>D7/$J$2</f>
        <v/>
      </c>
      <c r="F15" s="1">
        <f>F7/$J$2</f>
        <v/>
      </c>
    </row>
    <row r="16">
      <c r="D16" s="1">
        <f>D8/$J$2</f>
        <v/>
      </c>
    </row>
    <row r="19">
      <c r="A19" s="2" t="inlineStr">
        <is>
          <t>CsI3: position-resolved, min_hopping_norm 0.0001, nk 15. Paper labels (A,D,B,C): abba = 2-center polarization. The old orb_res_QM_trace.xlsx uses tensor order; see sheet 'patterns'.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3" t="inlineStr">
        <is>
          <t>paper label (A,D,B,C)</t>
        </is>
      </c>
      <c r="B1" s="3" t="inlineStr">
        <is>
          <t>old xlsx / tensor label (A,B,C,D)</t>
        </is>
      </c>
      <c r="C1" s="3" t="inlineStr">
        <is>
          <t>class</t>
        </is>
      </c>
      <c r="D1" s="3" t="inlineStr">
        <is>
          <t>xx</t>
        </is>
      </c>
      <c r="E1" s="3" t="inlineStr">
        <is>
          <t>yy</t>
        </is>
      </c>
      <c r="F1" s="3" t="inlineStr">
        <is>
          <t>zz</t>
        </is>
      </c>
      <c r="G1" s="3" t="inlineStr">
        <is>
          <t>trace</t>
        </is>
      </c>
    </row>
    <row r="2">
      <c r="A2" t="inlineStr">
        <is>
          <t>abba</t>
        </is>
      </c>
      <c r="B2" t="inlineStr">
        <is>
          <t>abab</t>
        </is>
      </c>
      <c r="C2" t="inlineStr">
        <is>
          <t>2-center polarization</t>
        </is>
      </c>
      <c r="D2" t="n">
        <v>0.2012037949468991</v>
      </c>
      <c r="E2" t="n">
        <v>0.0041456573089871</v>
      </c>
      <c r="F2" t="n">
        <v>0.1520770180907167</v>
      </c>
      <c r="G2" t="n">
        <v>0.3574264703466031</v>
      </c>
    </row>
    <row r="3">
      <c r="A3" t="inlineStr">
        <is>
          <t>abab</t>
        </is>
      </c>
      <c r="B3" t="inlineStr">
        <is>
          <t>aabb</t>
        </is>
      </c>
      <c r="C3" t="inlineStr">
        <is>
          <t>2-center transfer</t>
        </is>
      </c>
      <c r="D3" t="n">
        <v>0.039036299787178</v>
      </c>
      <c r="E3" t="n">
        <v>-4.343094904205467e-05</v>
      </c>
      <c r="F3" t="n">
        <v>0.0291619553775881</v>
      </c>
      <c r="G3" t="n">
        <v>0.06815482421572409</v>
      </c>
    </row>
    <row r="4">
      <c r="A4" t="inlineStr">
        <is>
          <t>abac</t>
        </is>
      </c>
      <c r="B4" t="inlineStr">
        <is>
          <t>aabc</t>
        </is>
      </c>
      <c r="C4" t="inlineStr">
        <is>
          <t>3-center</t>
        </is>
      </c>
      <c r="D4" t="n">
        <v>-0.0006102130230343</v>
      </c>
      <c r="E4" t="n">
        <v>7.63829095166449e-06</v>
      </c>
      <c r="F4" t="n">
        <v>-0.0011191804192976</v>
      </c>
      <c r="G4" t="n">
        <v>-0.0017217551513803</v>
      </c>
    </row>
    <row r="5">
      <c r="A5" t="inlineStr">
        <is>
          <t>abbc</t>
        </is>
      </c>
      <c r="B5" t="inlineStr">
        <is>
          <t>abcb</t>
        </is>
      </c>
      <c r="C5" t="inlineStr">
        <is>
          <t>3-center</t>
        </is>
      </c>
      <c r="D5" t="n">
        <v>0.135807662528572</v>
      </c>
      <c r="E5" t="n">
        <v>-0.0004464792667766</v>
      </c>
      <c r="F5" t="n">
        <v>0.09747753956544419</v>
      </c>
      <c r="G5" t="n">
        <v>0.2328387228272396</v>
      </c>
    </row>
    <row r="6">
      <c r="A6" t="inlineStr">
        <is>
          <t>abca</t>
        </is>
      </c>
      <c r="B6" t="inlineStr">
        <is>
          <t>abac</t>
        </is>
      </c>
      <c r="C6" t="inlineStr">
        <is>
          <t>3-center</t>
        </is>
      </c>
      <c r="D6" t="n">
        <v>0.0077161801841083</v>
      </c>
      <c r="E6" t="n">
        <v>0.001300488098826</v>
      </c>
      <c r="F6" t="n">
        <v>0.0065894442404404</v>
      </c>
      <c r="G6" t="n">
        <v>0.0156061125233748</v>
      </c>
    </row>
    <row r="7">
      <c r="A7" t="inlineStr">
        <is>
          <t>abcb</t>
        </is>
      </c>
      <c r="B7" t="inlineStr">
        <is>
          <t>abcc</t>
        </is>
      </c>
      <c r="C7" t="inlineStr">
        <is>
          <t>3-center</t>
        </is>
      </c>
      <c r="D7" t="n">
        <v>-0.000610213023034</v>
      </c>
      <c r="E7" t="n">
        <v>7.638290951665093e-06</v>
      </c>
      <c r="F7" t="n">
        <v>-0.0011191804192971</v>
      </c>
      <c r="G7" t="n">
        <v>-0.0017217551513795</v>
      </c>
    </row>
    <row r="8">
      <c r="A8" t="inlineStr">
        <is>
          <t>abcd</t>
        </is>
      </c>
      <c r="B8" t="inlineStr">
        <is>
          <t>abcd</t>
        </is>
      </c>
      <c r="C8" t="inlineStr">
        <is>
          <t>4-center</t>
        </is>
      </c>
      <c r="D8" t="n">
        <v>0.0049649491954668</v>
      </c>
      <c r="E8" t="n">
        <v>-0.0005764775650798001</v>
      </c>
      <c r="F8" t="n">
        <v>0.0016291919002223</v>
      </c>
      <c r="G8" t="n">
        <v>0.0060176635306093</v>
      </c>
    </row>
    <row r="9">
      <c r="A9" t="inlineStr">
        <is>
          <t>aaaa</t>
        </is>
      </c>
      <c r="B9" t="inlineStr">
        <is>
          <t>aaaa</t>
        </is>
      </c>
      <c r="C9" t="inlineStr">
        <is>
          <t>other (A=D or B=C)</t>
        </is>
      </c>
      <c r="D9" t="n">
        <v>3.761161625317915e-07</v>
      </c>
      <c r="E9" t="n">
        <v>9.904909942379841e-21</v>
      </c>
      <c r="F9" t="n">
        <v>1.897696610007897e-07</v>
      </c>
      <c r="G9" t="n">
        <v>5.658858235325911e-07</v>
      </c>
    </row>
    <row r="10">
      <c r="A10" t="inlineStr">
        <is>
          <t>aaab</t>
        </is>
      </c>
      <c r="B10" t="inlineStr">
        <is>
          <t>aaba</t>
        </is>
      </c>
      <c r="C10" t="inlineStr">
        <is>
          <t>other (A=D or B=C)</t>
        </is>
      </c>
      <c r="D10" t="n">
        <v>3.56227087589525e-06</v>
      </c>
      <c r="E10" t="n">
        <v>2.580872295282832e-21</v>
      </c>
      <c r="F10" t="n">
        <v>3.62498452641124e-07</v>
      </c>
      <c r="G10" t="n">
        <v>3.924769328536377e-06</v>
      </c>
    </row>
    <row r="11">
      <c r="A11" t="inlineStr">
        <is>
          <t>aaba</t>
        </is>
      </c>
      <c r="B11" t="inlineStr">
        <is>
          <t>abaa</t>
        </is>
      </c>
      <c r="C11" t="inlineStr">
        <is>
          <t>other (A=D or B=C)</t>
        </is>
      </c>
      <c r="D11" t="n">
        <v>4.91004528058248e-06</v>
      </c>
      <c r="E11" t="n">
        <v>1.070788071923847e-19</v>
      </c>
      <c r="F11" t="n">
        <v>3.233810090691215e-06</v>
      </c>
      <c r="G11" t="n">
        <v>8.143855371273801e-06</v>
      </c>
    </row>
    <row r="12">
      <c r="A12" t="inlineStr">
        <is>
          <t>aabb</t>
        </is>
      </c>
      <c r="B12" t="inlineStr">
        <is>
          <t>abba</t>
        </is>
      </c>
      <c r="C12" t="inlineStr">
        <is>
          <t>other (A=D or B=C)</t>
        </is>
      </c>
      <c r="D12" t="n">
        <v>-4.185868654290962e-08</v>
      </c>
      <c r="E12" t="n">
        <v>1.482226853663159e-21</v>
      </c>
      <c r="F12" t="n">
        <v>-1.747547090411124e-08</v>
      </c>
      <c r="G12" t="n">
        <v>-5.933415744701938e-08</v>
      </c>
    </row>
    <row r="13">
      <c r="A13" t="inlineStr">
        <is>
          <t>aabc</t>
        </is>
      </c>
      <c r="B13" t="inlineStr">
        <is>
          <t>abca</t>
        </is>
      </c>
      <c r="C13" t="inlineStr">
        <is>
          <t>other (A=D or B=C)</t>
        </is>
      </c>
      <c r="D13" t="n">
        <v>1.400653682699153e-06</v>
      </c>
      <c r="E13" t="n">
        <v>4.330846735690038e-21</v>
      </c>
      <c r="F13" t="n">
        <v>2.991489998042276e-09</v>
      </c>
      <c r="G13" t="n">
        <v>1.4036451726972e-06</v>
      </c>
    </row>
    <row r="14">
      <c r="A14" t="inlineStr">
        <is>
          <t>abaa</t>
        </is>
      </c>
      <c r="B14" t="inlineStr">
        <is>
          <t>aaab</t>
        </is>
      </c>
      <c r="C14" t="inlineStr">
        <is>
          <t>other (A=D or B=C)</t>
        </is>
      </c>
      <c r="D14" t="n">
        <v>4.910045280582575e-06</v>
      </c>
      <c r="E14" t="n">
        <v>1.070788071886624e-19</v>
      </c>
      <c r="F14" t="n">
        <v>3.233810090691219e-06</v>
      </c>
      <c r="G14" t="n">
        <v>8.143855371273901e-06</v>
      </c>
    </row>
    <row r="15">
      <c r="A15" t="inlineStr">
        <is>
          <t>abbb</t>
        </is>
      </c>
      <c r="B15" t="inlineStr">
        <is>
          <t>abbb</t>
        </is>
      </c>
      <c r="C15" t="inlineStr">
        <is>
          <t>other (A=D or B=C)</t>
        </is>
      </c>
      <c r="D15" t="n">
        <v>3.562270875895238e-06</v>
      </c>
      <c r="E15" t="n">
        <v>2.580872300476005e-21</v>
      </c>
      <c r="F15" t="n">
        <v>3.624984526411236e-07</v>
      </c>
      <c r="G15" t="n">
        <v>3.924769328536364e-06</v>
      </c>
    </row>
    <row r="16">
      <c r="A16" t="inlineStr">
        <is>
          <t>abcc</t>
        </is>
      </c>
      <c r="B16" t="inlineStr">
        <is>
          <t>abbc</t>
        </is>
      </c>
      <c r="C16" t="inlineStr">
        <is>
          <t>other (A=D or B=C)</t>
        </is>
      </c>
      <c r="D16" t="n">
        <v>1.400653682698965e-06</v>
      </c>
      <c r="E16" t="n">
        <v>4.330846745015728e-21</v>
      </c>
      <c r="F16" t="n">
        <v>2.991489997964349e-09</v>
      </c>
      <c r="G16" t="n">
        <v>1.403645172696934e-06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3" t="inlineStr">
        <is>
          <t>cls</t>
        </is>
      </c>
      <c r="B1" s="3" t="inlineStr">
        <is>
          <t>xx</t>
        </is>
      </c>
      <c r="C1" s="3" t="inlineStr">
        <is>
          <t>yy</t>
        </is>
      </c>
      <c r="D1" s="3" t="inlineStr">
        <is>
          <t>zz</t>
        </is>
      </c>
      <c r="E1" s="3" t="inlineStr">
        <is>
          <t>trace</t>
        </is>
      </c>
    </row>
    <row r="2">
      <c r="A2" t="inlineStr">
        <is>
          <t>2-center polarization</t>
        </is>
      </c>
      <c r="B2" t="n">
        <v>0.2012037949468991</v>
      </c>
      <c r="C2" t="n">
        <v>0.0041456573089871</v>
      </c>
      <c r="D2" t="n">
        <v>0.1520770180907167</v>
      </c>
      <c r="E2" t="n">
        <v>0.3574264703466031</v>
      </c>
    </row>
    <row r="3">
      <c r="A3" t="inlineStr">
        <is>
          <t>2-center transfer</t>
        </is>
      </c>
      <c r="B3" t="n">
        <v>0.039036299787178</v>
      </c>
      <c r="C3" t="n">
        <v>-4.343094904205467e-05</v>
      </c>
      <c r="D3" t="n">
        <v>0.0291619553775881</v>
      </c>
      <c r="E3" t="n">
        <v>0.06815482421572409</v>
      </c>
    </row>
    <row r="4">
      <c r="A4" t="inlineStr">
        <is>
          <t>3-center</t>
        </is>
      </c>
      <c r="B4" t="n">
        <v>0.1423034166666119</v>
      </c>
      <c r="C4" t="n">
        <v>0.0008692854139527</v>
      </c>
      <c r="D4" t="n">
        <v>0.1018286229672899</v>
      </c>
      <c r="E4" t="n">
        <v>0.2450013250478546</v>
      </c>
    </row>
    <row r="5">
      <c r="A5" t="inlineStr">
        <is>
          <t>4-center</t>
        </is>
      </c>
      <c r="B5" t="n">
        <v>0.0049649491954668</v>
      </c>
      <c r="C5" t="n">
        <v>-0.0005764775650798001</v>
      </c>
      <c r="D5" t="n">
        <v>0.0016291919002223</v>
      </c>
      <c r="E5" t="n">
        <v>0.0060176635306093</v>
      </c>
    </row>
    <row r="6">
      <c r="A6" t="inlineStr">
        <is>
          <t>other (A=D or B=C)</t>
        </is>
      </c>
      <c r="B6" t="n">
        <v>2.008019715434255e-05</v>
      </c>
      <c r="C6" t="n">
        <v>2.393681892535547e-19</v>
      </c>
      <c r="D6" t="n">
        <v>7.370894256757366e-06</v>
      </c>
      <c r="E6" t="n">
        <v>2.745109141110015e-05</v>
      </c>
    </row>
    <row r="7">
      <c r="A7" t="inlineStr">
        <is>
          <t>total, Tr g</t>
        </is>
      </c>
      <c r="B7" t="n">
        <v>0.3875285407933103</v>
      </c>
      <c r="C7" t="n">
        <v>0.004395034208818</v>
      </c>
      <c r="D7" t="n">
        <v>0.2847041592300739</v>
      </c>
      <c r="E7" t="n">
        <v>0.6766277342322023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2026-10-06T18:11:21Z</dcterms:created>
  <dcterms:modified xmlns:dcterms="http://purl.org/dc/terms/" xmlns:xsi="http://www.w3.org/2001/XMLSchema-instance" xsi:type="dcterms:W3CDTF">2026-10-06T18:11:21Z</dcterms:modified>
</cp:coreProperties>
</file>